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o" sheetId="1" r:id="rId4"/>
    <sheet state="visible" name="Proyecto con subscripción" sheetId="2" r:id="rId5"/>
  </sheets>
  <definedNames/>
  <calcPr/>
  <extLst>
    <ext uri="GoogleSheetsCustomDataVersion2">
      <go:sheetsCustomData xmlns:go="http://customooxmlschemas.google.com/" r:id="rId6" roundtripDataChecksum="Cty1XCvbNEh2+H+JW9+tfRV7hpq9xGIE9frlOfJhsj0="/>
    </ext>
  </extLst>
</workbook>
</file>

<file path=xl/sharedStrings.xml><?xml version="1.0" encoding="utf-8"?>
<sst xmlns="http://schemas.openxmlformats.org/spreadsheetml/2006/main" count="61" uniqueCount="53">
  <si>
    <t>Proyecto con Subscripción</t>
  </si>
  <si>
    <t>Para este cálculo hay supuestos de sueldos basados en 2 programadores, 1 jefe de proyecto o scrum master, un QA y un vendedor, algunos servicios y compra de 2 notebooks.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</si>
  <si>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</si>
  <si>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</si>
  <si>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</si>
  <si>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Proyecto con venta completa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</si>
  <si>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</si>
  <si>
    <t>Para el cálculo del VAN, mi supuesto es que el proyecto se vende con un 45% sobre el costo para tener utilidades.</t>
  </si>
  <si>
    <t>Para ambos casos pueden variar los número dependiendo de sus costos y los valores que quieran ganar</t>
  </si>
  <si>
    <t>Periodo de desarrollo</t>
  </si>
  <si>
    <t>Periodo de ventas 1</t>
  </si>
  <si>
    <t>Periodo de ventas 2</t>
  </si>
  <si>
    <t>Ingresos</t>
  </si>
  <si>
    <t>Subscripción</t>
  </si>
  <si>
    <t>Cantidad</t>
  </si>
  <si>
    <t>Ventas</t>
  </si>
  <si>
    <t>Otros</t>
  </si>
  <si>
    <t>Total Ingresos</t>
  </si>
  <si>
    <t>Egresos</t>
  </si>
  <si>
    <t>Sueldos IT</t>
  </si>
  <si>
    <t>Servicios</t>
  </si>
  <si>
    <t>Sueldos vendedor</t>
  </si>
  <si>
    <t>Compras</t>
  </si>
  <si>
    <t>Total Egresos</t>
  </si>
  <si>
    <t>Infraestructura Tecnica</t>
  </si>
  <si>
    <t>Flujo</t>
  </si>
  <si>
    <t>Con ventas de 6 meses</t>
  </si>
  <si>
    <t>Supuestos</t>
  </si>
  <si>
    <t>Supuestos Ventas</t>
  </si>
  <si>
    <t>Valor Proyecto</t>
  </si>
  <si>
    <t>Valor Subscripción</t>
  </si>
  <si>
    <t>Tasa</t>
  </si>
  <si>
    <t>Sueldos</t>
  </si>
  <si>
    <t>Cantidad requerida</t>
  </si>
  <si>
    <t>VAN</t>
  </si>
  <si>
    <t>Programador 1</t>
  </si>
  <si>
    <t>Programador 2</t>
  </si>
  <si>
    <t>Con ventas de 12 meses</t>
  </si>
  <si>
    <t>JP / S.Master</t>
  </si>
  <si>
    <t>VPS(Servidor Virtual)</t>
  </si>
  <si>
    <t>Total Sueldos Mensuales</t>
  </si>
  <si>
    <t>Almacenamiento(s3)</t>
  </si>
  <si>
    <t>Firebase(Base de Datos)</t>
  </si>
  <si>
    <t>Mantenimiento Tecnico</t>
  </si>
  <si>
    <t>Luz</t>
  </si>
  <si>
    <t>Total</t>
  </si>
  <si>
    <t>Agua</t>
  </si>
  <si>
    <t>Internet</t>
  </si>
  <si>
    <t>Total Servicios</t>
  </si>
  <si>
    <t xml:space="preserve">Hosting y </t>
  </si>
  <si>
    <t>Notebooks (2)</t>
  </si>
  <si>
    <t>Licencias</t>
  </si>
  <si>
    <t>Total 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</si>
</sst>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_ ;_ @_ "/>
    <numFmt numFmtId="165" formatCode="_ * #,##0.00_ ;_ * \-#,##0.00_ ;_ * &quot;-&quot;_ ;_ @_ "/>
    <numFmt numFmtId="166" formatCode="&quot;$&quot;#,##0.00;[Red]&quot;$&quot;\-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18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0" fillId="0" fontId="1" numFmtId="164" xfId="0" applyFont="1" applyNumberFormat="1"/>
    <xf borderId="3" fillId="2" fontId="1" numFmtId="164" xfId="0" applyAlignment="1" applyBorder="1" applyFill="1" applyFont="1" applyNumberFormat="1">
      <alignment horizontal="center"/>
    </xf>
    <xf borderId="4" fillId="0" fontId="3" numFmtId="0" xfId="0" applyBorder="1" applyFont="1"/>
    <xf borderId="5" fillId="0" fontId="3" numFmtId="0" xfId="0" applyBorder="1" applyFont="1"/>
    <xf borderId="6" fillId="3" fontId="1" numFmtId="164" xfId="0" applyAlignment="1" applyBorder="1" applyFill="1" applyFont="1" applyNumberFormat="1">
      <alignment horizontal="center"/>
    </xf>
    <xf borderId="1" fillId="0" fontId="3" numFmtId="0" xfId="0" applyBorder="1" applyFont="1"/>
    <xf borderId="7" fillId="0" fontId="3" numFmtId="0" xfId="0" applyBorder="1" applyFont="1"/>
    <xf borderId="6" fillId="4" fontId="4" numFmtId="164" xfId="0" applyAlignment="1" applyBorder="1" applyFill="1" applyFont="1" applyNumberFormat="1">
      <alignment horizontal="center"/>
    </xf>
    <xf borderId="8" fillId="5" fontId="1" numFmtId="164" xfId="0" applyBorder="1" applyFill="1" applyFont="1" applyNumberFormat="1"/>
    <xf borderId="8" fillId="6" fontId="1" numFmtId="164" xfId="0" applyBorder="1" applyFill="1" applyFont="1" applyNumberFormat="1"/>
    <xf borderId="8" fillId="7" fontId="1" numFmtId="164" xfId="0" applyBorder="1" applyFill="1" applyFont="1" applyNumberFormat="1"/>
    <xf borderId="9" fillId="2" fontId="1" numFmtId="164" xfId="0" applyBorder="1" applyFont="1" applyNumberFormat="1"/>
    <xf borderId="2" fillId="5" fontId="1" numFmtId="164" xfId="0" applyBorder="1" applyFont="1" applyNumberFormat="1"/>
    <xf borderId="2" fillId="6" fontId="1" numFmtId="164" xfId="0" applyBorder="1" applyFont="1" applyNumberFormat="1"/>
    <xf borderId="2" fillId="7" fontId="1" numFmtId="164" xfId="0" applyBorder="1" applyFont="1" applyNumberFormat="1"/>
    <xf borderId="10" fillId="0" fontId="5" numFmtId="164" xfId="0" applyBorder="1" applyFont="1" applyNumberFormat="1"/>
    <xf borderId="11" fillId="2" fontId="6" numFmtId="164" xfId="0" applyAlignment="1" applyBorder="1" applyFont="1" applyNumberFormat="1">
      <alignment horizontal="center"/>
    </xf>
    <xf borderId="12" fillId="0" fontId="3" numFmtId="0" xfId="0" applyBorder="1" applyFont="1"/>
    <xf borderId="13" fillId="0" fontId="3" numFmtId="0" xfId="0" applyBorder="1" applyFont="1"/>
    <xf borderId="2" fillId="0" fontId="1" numFmtId="164" xfId="0" applyBorder="1" applyFont="1" applyNumberFormat="1"/>
    <xf borderId="0" fillId="0" fontId="7" numFmtId="164" xfId="0" applyFont="1" applyNumberFormat="1"/>
    <xf borderId="2" fillId="0" fontId="1" numFmtId="9" xfId="0" applyBorder="1" applyFont="1" applyNumberFormat="1"/>
    <xf borderId="0" fillId="0" fontId="1" numFmtId="165" xfId="0" applyFont="1" applyNumberFormat="1"/>
    <xf borderId="14" fillId="8" fontId="2" numFmtId="164" xfId="0" applyAlignment="1" applyBorder="1" applyFill="1" applyFont="1" applyNumberFormat="1">
      <alignment horizontal="center"/>
    </xf>
    <xf borderId="15" fillId="0" fontId="3" numFmtId="0" xfId="0" applyBorder="1" applyFont="1"/>
    <xf borderId="2" fillId="0" fontId="1" numFmtId="166" xfId="0" applyBorder="1" applyFont="1" applyNumberFormat="1"/>
    <xf borderId="3" fillId="8" fontId="2" numFmtId="164" xfId="0" applyAlignment="1" applyBorder="1" applyFont="1" applyNumberFormat="1">
      <alignment horizontal="center"/>
    </xf>
    <xf borderId="16" fillId="0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17" fillId="0" fontId="7" numFmtId="164" xfId="0" applyBorder="1" applyFont="1" applyNumberFormat="1"/>
    <xf borderId="2" fillId="0" fontId="7" numFmtId="164" xfId="0" applyBorder="1" applyFont="1" applyNumberFormat="1"/>
    <xf borderId="1" fillId="0" fontId="1" numFmtId="164" xfId="0" applyAlignment="1" applyBorder="1" applyFont="1" applyNumberFormat="1">
      <alignment horizontal="center"/>
    </xf>
    <xf borderId="1" fillId="0" fontId="7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8.0"/>
    <col customWidth="1" min="4" max="26" width="10.71"/>
  </cols>
  <sheetData>
    <row r="1">
      <c r="C1" s="1"/>
    </row>
    <row r="2">
      <c r="C2" s="1"/>
    </row>
    <row r="3">
      <c r="C3" s="2" t="s">
        <v>0</v>
      </c>
    </row>
    <row r="4">
      <c r="C4" s="1"/>
    </row>
    <row r="5">
      <c r="C5" s="3" t="s">
        <v>1</v>
      </c>
    </row>
    <row r="6">
      <c r="C6" s="3" t="s">
        <v>2</v>
      </c>
    </row>
    <row r="7">
      <c r="C7" s="3" t="s">
        <v>3</v>
      </c>
    </row>
    <row r="8">
      <c r="C8" s="3" t="s">
        <v>4</v>
      </c>
    </row>
    <row r="9">
      <c r="C9" s="1"/>
    </row>
    <row r="10">
      <c r="C10" s="1"/>
    </row>
    <row r="11">
      <c r="C11" s="2" t="s">
        <v>5</v>
      </c>
    </row>
    <row r="12">
      <c r="C12" s="1"/>
    </row>
    <row r="13">
      <c r="C13" s="3" t="s">
        <v>1</v>
      </c>
    </row>
    <row r="14">
      <c r="C14" s="3" t="s">
        <v>6</v>
      </c>
    </row>
    <row r="15">
      <c r="C15" s="3" t="s">
        <v>7</v>
      </c>
    </row>
    <row r="16">
      <c r="C16" s="3"/>
    </row>
    <row r="17">
      <c r="C17" s="3" t="s">
        <v>8</v>
      </c>
    </row>
    <row r="18">
      <c r="C18" s="1"/>
    </row>
    <row r="19">
      <c r="C19" s="1"/>
    </row>
    <row r="20">
      <c r="C20" s="1"/>
    </row>
    <row r="21" ht="15.75" customHeight="1">
      <c r="C21" s="1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4.0"/>
    <col customWidth="1" min="3" max="3" width="15.71"/>
    <col customWidth="1" min="4" max="4" width="15.57"/>
    <col customWidth="1" min="5" max="7" width="11.43"/>
    <col customWidth="1" min="8" max="8" width="13.86"/>
    <col customWidth="1" min="9" max="9" width="11.29"/>
    <col customWidth="1" min="10" max="20" width="10.0"/>
    <col customWidth="1" min="21" max="26" width="10.71"/>
  </cols>
  <sheetData>
    <row r="1">
      <c r="B1" s="4"/>
      <c r="C1" s="5" t="s">
        <v>9</v>
      </c>
      <c r="D1" s="6"/>
      <c r="E1" s="6"/>
      <c r="F1" s="6"/>
      <c r="G1" s="6"/>
      <c r="H1" s="7"/>
      <c r="I1" s="8" t="s">
        <v>10</v>
      </c>
      <c r="J1" s="9"/>
      <c r="K1" s="9"/>
      <c r="L1" s="9"/>
      <c r="M1" s="9"/>
      <c r="N1" s="10"/>
      <c r="O1" s="11" t="s">
        <v>11</v>
      </c>
      <c r="P1" s="9"/>
      <c r="Q1" s="9"/>
      <c r="R1" s="9"/>
      <c r="S1" s="9"/>
      <c r="T1" s="10"/>
    </row>
    <row r="2">
      <c r="B2" s="4"/>
      <c r="C2" s="12">
        <v>1.0</v>
      </c>
      <c r="D2" s="12">
        <v>2.0</v>
      </c>
      <c r="E2" s="12">
        <v>3.0</v>
      </c>
      <c r="F2" s="12">
        <v>4.0</v>
      </c>
      <c r="G2" s="12">
        <v>5.0</v>
      </c>
      <c r="H2" s="12">
        <v>6.0</v>
      </c>
      <c r="I2" s="13">
        <v>7.0</v>
      </c>
      <c r="J2" s="13">
        <v>8.0</v>
      </c>
      <c r="K2" s="13">
        <v>9.0</v>
      </c>
      <c r="L2" s="13">
        <v>10.0</v>
      </c>
      <c r="M2" s="13">
        <v>11.0</v>
      </c>
      <c r="N2" s="13">
        <v>12.0</v>
      </c>
      <c r="O2" s="14">
        <v>7.0</v>
      </c>
      <c r="P2" s="14">
        <v>8.0</v>
      </c>
      <c r="Q2" s="14">
        <v>9.0</v>
      </c>
      <c r="R2" s="14">
        <v>10.0</v>
      </c>
      <c r="S2" s="14">
        <v>11.0</v>
      </c>
      <c r="T2" s="14">
        <v>12.0</v>
      </c>
    </row>
    <row r="3">
      <c r="B3" s="15" t="s">
        <v>12</v>
      </c>
      <c r="C3" s="12"/>
      <c r="D3" s="12"/>
      <c r="E3" s="12"/>
      <c r="F3" s="12"/>
      <c r="G3" s="12"/>
      <c r="H3" s="12"/>
      <c r="I3" s="13"/>
      <c r="J3" s="13"/>
      <c r="K3" s="13"/>
      <c r="L3" s="13"/>
      <c r="M3" s="13"/>
      <c r="N3" s="13"/>
      <c r="O3" s="14"/>
      <c r="P3" s="14"/>
      <c r="Q3" s="14"/>
      <c r="R3" s="14"/>
      <c r="S3" s="14"/>
      <c r="T3" s="14"/>
    </row>
    <row r="4">
      <c r="B4" s="4" t="s">
        <v>13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  <c r="H4" s="16">
        <v>0.0</v>
      </c>
      <c r="I4" s="17">
        <f t="shared" ref="I4:T4" si="1">$M$21</f>
        <v>3100</v>
      </c>
      <c r="J4" s="17">
        <f t="shared" si="1"/>
        <v>3100</v>
      </c>
      <c r="K4" s="17">
        <f t="shared" si="1"/>
        <v>3100</v>
      </c>
      <c r="L4" s="17">
        <f t="shared" si="1"/>
        <v>3100</v>
      </c>
      <c r="M4" s="17">
        <f t="shared" si="1"/>
        <v>3100</v>
      </c>
      <c r="N4" s="17">
        <f t="shared" si="1"/>
        <v>3100</v>
      </c>
      <c r="O4" s="18">
        <f t="shared" si="1"/>
        <v>3100</v>
      </c>
      <c r="P4" s="18">
        <f t="shared" si="1"/>
        <v>3100</v>
      </c>
      <c r="Q4" s="18">
        <f t="shared" si="1"/>
        <v>3100</v>
      </c>
      <c r="R4" s="18">
        <f t="shared" si="1"/>
        <v>3100</v>
      </c>
      <c r="S4" s="18">
        <f t="shared" si="1"/>
        <v>3100</v>
      </c>
      <c r="T4" s="18">
        <f t="shared" si="1"/>
        <v>3100</v>
      </c>
    </row>
    <row r="5">
      <c r="B5" s="4" t="s">
        <v>14</v>
      </c>
      <c r="C5" s="16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7">
        <f t="shared" ref="I5:T5" si="2">$M$22</f>
        <v>1000</v>
      </c>
      <c r="J5" s="17">
        <f t="shared" si="2"/>
        <v>1000</v>
      </c>
      <c r="K5" s="17">
        <f t="shared" si="2"/>
        <v>1000</v>
      </c>
      <c r="L5" s="17">
        <f t="shared" si="2"/>
        <v>1000</v>
      </c>
      <c r="M5" s="17">
        <f t="shared" si="2"/>
        <v>1000</v>
      </c>
      <c r="N5" s="17">
        <f t="shared" si="2"/>
        <v>1000</v>
      </c>
      <c r="O5" s="18">
        <f t="shared" si="2"/>
        <v>1000</v>
      </c>
      <c r="P5" s="18">
        <f t="shared" si="2"/>
        <v>1000</v>
      </c>
      <c r="Q5" s="18">
        <f t="shared" si="2"/>
        <v>1000</v>
      </c>
      <c r="R5" s="18">
        <f t="shared" si="2"/>
        <v>1000</v>
      </c>
      <c r="S5" s="18">
        <f t="shared" si="2"/>
        <v>1000</v>
      </c>
      <c r="T5" s="18">
        <f t="shared" si="2"/>
        <v>1000</v>
      </c>
    </row>
    <row r="6">
      <c r="B6" s="4" t="s">
        <v>15</v>
      </c>
      <c r="C6" s="16">
        <f t="shared" ref="C6:T6" si="3">C4*C5</f>
        <v>0</v>
      </c>
      <c r="D6" s="16">
        <f t="shared" si="3"/>
        <v>0</v>
      </c>
      <c r="E6" s="16">
        <f t="shared" si="3"/>
        <v>0</v>
      </c>
      <c r="F6" s="16">
        <f t="shared" si="3"/>
        <v>0</v>
      </c>
      <c r="G6" s="16">
        <f t="shared" si="3"/>
        <v>0</v>
      </c>
      <c r="H6" s="16">
        <f t="shared" si="3"/>
        <v>0</v>
      </c>
      <c r="I6" s="17">
        <f t="shared" si="3"/>
        <v>3100000</v>
      </c>
      <c r="J6" s="17">
        <f t="shared" si="3"/>
        <v>3100000</v>
      </c>
      <c r="K6" s="17">
        <f t="shared" si="3"/>
        <v>3100000</v>
      </c>
      <c r="L6" s="17">
        <f t="shared" si="3"/>
        <v>3100000</v>
      </c>
      <c r="M6" s="17">
        <f t="shared" si="3"/>
        <v>3100000</v>
      </c>
      <c r="N6" s="17">
        <f t="shared" si="3"/>
        <v>3100000</v>
      </c>
      <c r="O6" s="18">
        <f t="shared" si="3"/>
        <v>3100000</v>
      </c>
      <c r="P6" s="18">
        <f t="shared" si="3"/>
        <v>3100000</v>
      </c>
      <c r="Q6" s="18">
        <f t="shared" si="3"/>
        <v>3100000</v>
      </c>
      <c r="R6" s="18">
        <f t="shared" si="3"/>
        <v>3100000</v>
      </c>
      <c r="S6" s="18">
        <f t="shared" si="3"/>
        <v>3100000</v>
      </c>
      <c r="T6" s="18">
        <f t="shared" si="3"/>
        <v>3100000</v>
      </c>
    </row>
    <row r="7">
      <c r="B7" s="4" t="s">
        <v>16</v>
      </c>
      <c r="C7" s="16"/>
      <c r="D7" s="16"/>
      <c r="E7" s="16"/>
      <c r="F7" s="16"/>
      <c r="G7" s="16"/>
      <c r="H7" s="16"/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</row>
    <row r="8">
      <c r="B8" s="4" t="s">
        <v>17</v>
      </c>
      <c r="C8" s="16"/>
      <c r="D8" s="16"/>
      <c r="E8" s="16"/>
      <c r="F8" s="16"/>
      <c r="G8" s="16"/>
      <c r="H8" s="16"/>
      <c r="I8" s="17">
        <f t="shared" ref="I8:T8" si="4">SUM(I6:I7)</f>
        <v>3100000</v>
      </c>
      <c r="J8" s="17">
        <f t="shared" si="4"/>
        <v>3100000</v>
      </c>
      <c r="K8" s="17">
        <f t="shared" si="4"/>
        <v>3100000</v>
      </c>
      <c r="L8" s="17">
        <f t="shared" si="4"/>
        <v>3100000</v>
      </c>
      <c r="M8" s="17">
        <f t="shared" si="4"/>
        <v>3100000</v>
      </c>
      <c r="N8" s="17">
        <f t="shared" si="4"/>
        <v>3100000</v>
      </c>
      <c r="O8" s="18">
        <f t="shared" si="4"/>
        <v>3100000</v>
      </c>
      <c r="P8" s="18">
        <f t="shared" si="4"/>
        <v>3100000</v>
      </c>
      <c r="Q8" s="18">
        <f t="shared" si="4"/>
        <v>3100000</v>
      </c>
      <c r="R8" s="18">
        <f t="shared" si="4"/>
        <v>3100000</v>
      </c>
      <c r="S8" s="18">
        <f t="shared" si="4"/>
        <v>3100000</v>
      </c>
      <c r="T8" s="18">
        <f t="shared" si="4"/>
        <v>3100000</v>
      </c>
    </row>
    <row r="9">
      <c r="B9" s="4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</row>
    <row r="10">
      <c r="B10" s="15" t="s">
        <v>18</v>
      </c>
      <c r="C10" s="12"/>
      <c r="D10" s="12"/>
      <c r="E10" s="12"/>
      <c r="F10" s="12"/>
      <c r="G10" s="12"/>
      <c r="H10" s="12"/>
      <c r="I10" s="13"/>
      <c r="J10" s="13"/>
      <c r="K10" s="13"/>
      <c r="L10" s="13"/>
      <c r="M10" s="13"/>
      <c r="N10" s="13"/>
      <c r="O10" s="14"/>
      <c r="P10" s="14"/>
      <c r="Q10" s="14"/>
      <c r="R10" s="14"/>
      <c r="S10" s="14"/>
      <c r="T10" s="14"/>
    </row>
    <row r="11">
      <c r="B11" s="4"/>
      <c r="C11" s="12"/>
      <c r="D11" s="12"/>
      <c r="E11" s="12"/>
      <c r="F11" s="12"/>
      <c r="G11" s="12"/>
      <c r="H11" s="12"/>
      <c r="I11" s="13"/>
      <c r="J11" s="13"/>
      <c r="K11" s="13"/>
      <c r="L11" s="13"/>
      <c r="M11" s="13"/>
      <c r="N11" s="13"/>
      <c r="O11" s="14"/>
      <c r="P11" s="14"/>
      <c r="Q11" s="14"/>
      <c r="R11" s="14"/>
      <c r="S11" s="14"/>
      <c r="T11" s="14"/>
    </row>
    <row r="12">
      <c r="B12" s="4" t="s">
        <v>19</v>
      </c>
      <c r="C12" s="16">
        <f t="shared" ref="C12:H12" si="5">$I$27</f>
        <v>2700000</v>
      </c>
      <c r="D12" s="16">
        <f t="shared" si="5"/>
        <v>2700000</v>
      </c>
      <c r="E12" s="16">
        <f t="shared" si="5"/>
        <v>2700000</v>
      </c>
      <c r="F12" s="16">
        <f t="shared" si="5"/>
        <v>2700000</v>
      </c>
      <c r="G12" s="16">
        <f t="shared" si="5"/>
        <v>2700000</v>
      </c>
      <c r="H12" s="16">
        <f t="shared" si="5"/>
        <v>2700000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</row>
    <row r="13">
      <c r="B13" s="4" t="s">
        <v>20</v>
      </c>
      <c r="C13" s="16">
        <f t="shared" ref="C13:H13" si="6">$I$33</f>
        <v>85000</v>
      </c>
      <c r="D13" s="16">
        <f t="shared" si="6"/>
        <v>85000</v>
      </c>
      <c r="E13" s="16">
        <f t="shared" si="6"/>
        <v>85000</v>
      </c>
      <c r="F13" s="16">
        <f t="shared" si="6"/>
        <v>85000</v>
      </c>
      <c r="G13" s="16">
        <f t="shared" si="6"/>
        <v>85000</v>
      </c>
      <c r="H13" s="16">
        <f t="shared" si="6"/>
        <v>85000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</row>
    <row r="14">
      <c r="B14" s="4" t="s">
        <v>21</v>
      </c>
      <c r="C14" s="16"/>
      <c r="D14" s="16"/>
      <c r="E14" s="16"/>
      <c r="F14" s="16"/>
      <c r="G14" s="16"/>
      <c r="H14" s="16"/>
      <c r="I14" s="17" t="str">
        <f t="shared" ref="I14:T14" si="7">$I$28</f>
        <v/>
      </c>
      <c r="J14" s="17" t="str">
        <f t="shared" si="7"/>
        <v/>
      </c>
      <c r="K14" s="17" t="str">
        <f t="shared" si="7"/>
        <v/>
      </c>
      <c r="L14" s="17" t="str">
        <f t="shared" si="7"/>
        <v/>
      </c>
      <c r="M14" s="17" t="str">
        <f t="shared" si="7"/>
        <v/>
      </c>
      <c r="N14" s="17" t="str">
        <f t="shared" si="7"/>
        <v/>
      </c>
      <c r="O14" s="18" t="str">
        <f t="shared" si="7"/>
        <v/>
      </c>
      <c r="P14" s="18" t="str">
        <f t="shared" si="7"/>
        <v/>
      </c>
      <c r="Q14" s="18" t="str">
        <f t="shared" si="7"/>
        <v/>
      </c>
      <c r="R14" s="18" t="str">
        <f t="shared" si="7"/>
        <v/>
      </c>
      <c r="S14" s="18" t="str">
        <f t="shared" si="7"/>
        <v/>
      </c>
      <c r="T14" s="18" t="str">
        <f t="shared" si="7"/>
        <v/>
      </c>
    </row>
    <row r="15">
      <c r="B15" s="4" t="s">
        <v>22</v>
      </c>
      <c r="C15" s="16">
        <f>I39</f>
        <v>1400000</v>
      </c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</row>
    <row r="16">
      <c r="B16" s="4" t="s">
        <v>23</v>
      </c>
      <c r="C16" s="16">
        <f t="shared" ref="C16:T16" si="8">SUM(C12:C15)</f>
        <v>4185000</v>
      </c>
      <c r="D16" s="16">
        <f t="shared" si="8"/>
        <v>2785000</v>
      </c>
      <c r="E16" s="16">
        <f t="shared" si="8"/>
        <v>2785000</v>
      </c>
      <c r="F16" s="16">
        <f t="shared" si="8"/>
        <v>2785000</v>
      </c>
      <c r="G16" s="16">
        <f t="shared" si="8"/>
        <v>2785000</v>
      </c>
      <c r="H16" s="16">
        <f t="shared" si="8"/>
        <v>2785000</v>
      </c>
      <c r="I16" s="17">
        <f t="shared" si="8"/>
        <v>0</v>
      </c>
      <c r="J16" s="17">
        <f t="shared" si="8"/>
        <v>0</v>
      </c>
      <c r="K16" s="17">
        <f t="shared" si="8"/>
        <v>0</v>
      </c>
      <c r="L16" s="17">
        <f t="shared" si="8"/>
        <v>0</v>
      </c>
      <c r="M16" s="17">
        <f t="shared" si="8"/>
        <v>0</v>
      </c>
      <c r="N16" s="17">
        <f t="shared" si="8"/>
        <v>0</v>
      </c>
      <c r="O16" s="18">
        <f t="shared" si="8"/>
        <v>0</v>
      </c>
      <c r="P16" s="18">
        <f t="shared" si="8"/>
        <v>0</v>
      </c>
      <c r="Q16" s="18">
        <f t="shared" si="8"/>
        <v>0</v>
      </c>
      <c r="R16" s="18">
        <f t="shared" si="8"/>
        <v>0</v>
      </c>
      <c r="S16" s="18">
        <f t="shared" si="8"/>
        <v>0</v>
      </c>
      <c r="T16" s="18">
        <f t="shared" si="8"/>
        <v>0</v>
      </c>
    </row>
    <row r="17">
      <c r="B17" s="4" t="s">
        <v>24</v>
      </c>
      <c r="C17" s="16"/>
      <c r="D17" s="16"/>
      <c r="E17" s="16"/>
      <c r="F17" s="16"/>
      <c r="G17" s="16"/>
      <c r="H17" s="16"/>
      <c r="I17" s="17">
        <f t="shared" ref="I17:T17" si="9">$M$30</f>
        <v>111050</v>
      </c>
      <c r="J17" s="17">
        <f t="shared" si="9"/>
        <v>111050</v>
      </c>
      <c r="K17" s="17">
        <f t="shared" si="9"/>
        <v>111050</v>
      </c>
      <c r="L17" s="17">
        <f t="shared" si="9"/>
        <v>111050</v>
      </c>
      <c r="M17" s="17">
        <f t="shared" si="9"/>
        <v>111050</v>
      </c>
      <c r="N17" s="17">
        <f t="shared" si="9"/>
        <v>111050</v>
      </c>
      <c r="O17" s="18">
        <f t="shared" si="9"/>
        <v>111050</v>
      </c>
      <c r="P17" s="18">
        <f t="shared" si="9"/>
        <v>111050</v>
      </c>
      <c r="Q17" s="18">
        <f t="shared" si="9"/>
        <v>111050</v>
      </c>
      <c r="R17" s="18">
        <f t="shared" si="9"/>
        <v>111050</v>
      </c>
      <c r="S17" s="18">
        <f t="shared" si="9"/>
        <v>111050</v>
      </c>
      <c r="T17" s="18">
        <f t="shared" si="9"/>
        <v>111050</v>
      </c>
    </row>
    <row r="18">
      <c r="B18" s="4" t="s">
        <v>25</v>
      </c>
      <c r="C18" s="16">
        <f t="shared" ref="C18:H18" si="10">C8-C16</f>
        <v>-4185000</v>
      </c>
      <c r="D18" s="16">
        <f t="shared" si="10"/>
        <v>-2785000</v>
      </c>
      <c r="E18" s="16">
        <f t="shared" si="10"/>
        <v>-2785000</v>
      </c>
      <c r="F18" s="16">
        <f t="shared" si="10"/>
        <v>-2785000</v>
      </c>
      <c r="G18" s="16">
        <f t="shared" si="10"/>
        <v>-2785000</v>
      </c>
      <c r="H18" s="16">
        <f t="shared" si="10"/>
        <v>-2785000</v>
      </c>
      <c r="I18" s="17">
        <f t="shared" ref="I18:T18" si="11">I8-I17</f>
        <v>2988950</v>
      </c>
      <c r="J18" s="17">
        <f t="shared" si="11"/>
        <v>2988950</v>
      </c>
      <c r="K18" s="17">
        <f t="shared" si="11"/>
        <v>2988950</v>
      </c>
      <c r="L18" s="17">
        <f t="shared" si="11"/>
        <v>2988950</v>
      </c>
      <c r="M18" s="17">
        <f t="shared" si="11"/>
        <v>2988950</v>
      </c>
      <c r="N18" s="17">
        <f t="shared" si="11"/>
        <v>2988950</v>
      </c>
      <c r="O18" s="18">
        <f t="shared" si="11"/>
        <v>2988950</v>
      </c>
      <c r="P18" s="18">
        <f t="shared" si="11"/>
        <v>2988950</v>
      </c>
      <c r="Q18" s="18">
        <f t="shared" si="11"/>
        <v>2988950</v>
      </c>
      <c r="R18" s="18">
        <f t="shared" si="11"/>
        <v>2988950</v>
      </c>
      <c r="S18" s="18">
        <f t="shared" si="11"/>
        <v>2988950</v>
      </c>
      <c r="T18" s="18">
        <f t="shared" si="11"/>
        <v>2988950</v>
      </c>
    </row>
    <row r="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B20" s="19" t="s">
        <v>26</v>
      </c>
      <c r="C20" s="4"/>
      <c r="D20" s="4"/>
      <c r="E20" s="4"/>
      <c r="F20" s="4"/>
      <c r="G20" s="4"/>
      <c r="H20" s="20" t="s">
        <v>27</v>
      </c>
      <c r="I20" s="21"/>
      <c r="J20" s="4"/>
      <c r="K20" s="20" t="s">
        <v>28</v>
      </c>
      <c r="L20" s="22"/>
      <c r="M20" s="21"/>
      <c r="N20" s="4"/>
    </row>
    <row r="21" ht="15.75" customHeight="1">
      <c r="B21" s="23" t="s">
        <v>29</v>
      </c>
      <c r="C21" s="23">
        <f>SUM(C16:H16)</f>
        <v>18110000</v>
      </c>
      <c r="D21" s="4"/>
      <c r="E21" s="4"/>
      <c r="F21" s="4"/>
      <c r="G21" s="4"/>
      <c r="H21" s="4"/>
      <c r="I21" s="4"/>
      <c r="J21" s="4"/>
      <c r="K21" s="24" t="s">
        <v>30</v>
      </c>
      <c r="L21" s="4"/>
      <c r="M21" s="24">
        <v>3100.0</v>
      </c>
      <c r="N21" s="4"/>
    </row>
    <row r="22" ht="15.75" customHeight="1">
      <c r="B22" s="23" t="s">
        <v>31</v>
      </c>
      <c r="C22" s="25">
        <f>8/100</f>
        <v>0.08</v>
      </c>
      <c r="D22" s="26"/>
      <c r="E22" s="4"/>
      <c r="F22" s="4"/>
      <c r="G22" s="4"/>
      <c r="H22" s="27" t="s">
        <v>32</v>
      </c>
      <c r="I22" s="28"/>
      <c r="J22" s="4"/>
      <c r="K22" s="24" t="s">
        <v>33</v>
      </c>
      <c r="L22" s="4"/>
      <c r="M22" s="24">
        <v>1000.0</v>
      </c>
      <c r="N22" s="4"/>
    </row>
    <row r="23" ht="15.75" customHeight="1">
      <c r="B23" s="23" t="s">
        <v>34</v>
      </c>
      <c r="C23" s="29">
        <f t="array" ref="C23">NPV($C$22,C18:N18)</f>
        <v>-5463611.943</v>
      </c>
      <c r="D23" s="4" t="str">
        <f>IF(C23&gt;0,"==&gt; Proyecto viable","==&gt; Proyecto no viable")</f>
        <v>==&gt; Proyecto no viable</v>
      </c>
      <c r="E23" s="4"/>
      <c r="F23" s="4"/>
      <c r="G23" s="4"/>
      <c r="H23" s="24" t="s">
        <v>35</v>
      </c>
      <c r="I23" s="24">
        <v>800000.0</v>
      </c>
      <c r="J23" s="4"/>
      <c r="K23" s="4"/>
      <c r="L23" s="4"/>
      <c r="M23" s="4"/>
      <c r="N23" s="4"/>
    </row>
    <row r="24" ht="15.75" customHeight="1">
      <c r="B24" s="4"/>
      <c r="C24" s="4"/>
      <c r="D24" s="4"/>
      <c r="E24" s="4"/>
      <c r="F24" s="4"/>
      <c r="G24" s="4"/>
      <c r="H24" s="24" t="s">
        <v>36</v>
      </c>
      <c r="I24" s="24">
        <v>800000.0</v>
      </c>
      <c r="J24" s="4"/>
      <c r="K24" s="4"/>
      <c r="L24" s="4"/>
      <c r="M24" s="4"/>
      <c r="N24" s="4"/>
    </row>
    <row r="25" ht="15.75" customHeight="1">
      <c r="B25" s="19" t="s">
        <v>37</v>
      </c>
      <c r="C25" s="4"/>
      <c r="D25" s="4"/>
      <c r="E25" s="4"/>
      <c r="F25" s="4"/>
      <c r="G25" s="4"/>
      <c r="H25" s="24" t="s">
        <v>38</v>
      </c>
      <c r="I25" s="24">
        <v>1100000.0</v>
      </c>
      <c r="J25" s="4"/>
      <c r="K25" s="30" t="s">
        <v>24</v>
      </c>
      <c r="L25" s="6"/>
      <c r="M25" s="7"/>
      <c r="N25" s="4"/>
    </row>
    <row r="26" ht="15.75" customHeight="1">
      <c r="B26" s="31" t="s">
        <v>29</v>
      </c>
      <c r="C26" s="23">
        <f>SUM(C20:H20)</f>
        <v>0</v>
      </c>
      <c r="D26" s="4"/>
      <c r="E26" s="4"/>
      <c r="F26" s="4"/>
      <c r="G26" s="4"/>
      <c r="H26" s="24"/>
      <c r="I26" s="24"/>
      <c r="J26" s="4"/>
      <c r="K26" s="32" t="s">
        <v>39</v>
      </c>
      <c r="M26" s="4">
        <v>23000.0</v>
      </c>
      <c r="N26" s="4"/>
    </row>
    <row r="27" ht="15.75" customHeight="1">
      <c r="B27" s="23" t="s">
        <v>31</v>
      </c>
      <c r="C27" s="25">
        <f>8/100</f>
        <v>0.08</v>
      </c>
      <c r="D27" s="26"/>
      <c r="E27" s="4"/>
      <c r="F27" s="4"/>
      <c r="G27" s="4"/>
      <c r="H27" s="33" t="s">
        <v>40</v>
      </c>
      <c r="I27" s="33">
        <f>SUM(I23:I26)</f>
        <v>2700000</v>
      </c>
      <c r="J27" s="4"/>
      <c r="K27" s="32" t="s">
        <v>41</v>
      </c>
      <c r="M27" s="4">
        <v>4800.0</v>
      </c>
      <c r="N27" s="4"/>
    </row>
    <row r="28" ht="15.75" customHeight="1">
      <c r="B28" s="23" t="s">
        <v>34</v>
      </c>
      <c r="C28" s="29">
        <f t="array" ref="C28">NPV($C$27,C18:T18)</f>
        <v>23529.72327</v>
      </c>
      <c r="D28" s="4" t="str">
        <f>IF(C28&gt;0,"==&gt; Proyecto viable","==&gt; Proyecto no viable")</f>
        <v>==&gt; Proyecto viable</v>
      </c>
      <c r="E28" s="4"/>
      <c r="F28" s="4"/>
      <c r="G28" s="4"/>
      <c r="H28" s="34"/>
      <c r="I28" s="34"/>
      <c r="J28" s="4"/>
      <c r="K28" s="32" t="s">
        <v>42</v>
      </c>
      <c r="M28" s="4">
        <v>33250.0</v>
      </c>
      <c r="N28" s="4"/>
    </row>
    <row r="29" ht="15.75" customHeight="1">
      <c r="B29" s="4"/>
      <c r="C29" s="4"/>
      <c r="D29" s="4"/>
      <c r="E29" s="4"/>
      <c r="F29" s="4"/>
      <c r="G29" s="4"/>
      <c r="H29" s="27" t="s">
        <v>20</v>
      </c>
      <c r="I29" s="28"/>
      <c r="J29" s="4"/>
      <c r="K29" s="32" t="s">
        <v>43</v>
      </c>
      <c r="M29" s="4">
        <v>50000.0</v>
      </c>
      <c r="N29" s="4"/>
    </row>
    <row r="30" ht="15.75" customHeight="1">
      <c r="B30" s="4"/>
      <c r="C30" s="4"/>
      <c r="D30" s="4"/>
      <c r="E30" s="4"/>
      <c r="F30" s="4"/>
      <c r="G30" s="4"/>
      <c r="H30" s="24" t="s">
        <v>44</v>
      </c>
      <c r="I30" s="24">
        <v>30000.0</v>
      </c>
      <c r="J30" s="4"/>
      <c r="K30" s="35" t="s">
        <v>45</v>
      </c>
      <c r="L30" s="9"/>
      <c r="M30" s="4">
        <f>SUM(M26:M29)</f>
        <v>111050</v>
      </c>
      <c r="N30" s="4"/>
    </row>
    <row r="31" ht="15.75" customHeight="1">
      <c r="B31" s="4"/>
      <c r="C31" s="4"/>
      <c r="D31" s="4"/>
      <c r="E31" s="4"/>
      <c r="F31" s="4"/>
      <c r="G31" s="4"/>
      <c r="H31" s="24" t="s">
        <v>46</v>
      </c>
      <c r="I31" s="24">
        <v>30000.0</v>
      </c>
      <c r="J31" s="4"/>
      <c r="K31" s="4"/>
      <c r="L31" s="4"/>
      <c r="M31" s="4"/>
      <c r="N31" s="4"/>
    </row>
    <row r="32" ht="15.75" customHeight="1">
      <c r="B32" s="4"/>
      <c r="C32" s="4"/>
      <c r="D32" s="4"/>
      <c r="E32" s="4"/>
      <c r="F32" s="4"/>
      <c r="G32" s="4"/>
      <c r="H32" s="24" t="s">
        <v>47</v>
      </c>
      <c r="I32" s="24">
        <v>25000.0</v>
      </c>
      <c r="J32" s="4"/>
      <c r="K32" s="4"/>
      <c r="L32" s="4"/>
      <c r="M32" s="4"/>
      <c r="N32" s="4"/>
    </row>
    <row r="33" ht="15.75" customHeight="1">
      <c r="B33" s="4"/>
      <c r="C33" s="4"/>
      <c r="D33" s="4"/>
      <c r="E33" s="4"/>
      <c r="F33" s="4"/>
      <c r="G33" s="4"/>
      <c r="H33" s="36" t="s">
        <v>48</v>
      </c>
      <c r="I33" s="36">
        <f>SUM(I30:I32)</f>
        <v>85000</v>
      </c>
      <c r="J33" s="4"/>
      <c r="K33" s="4"/>
      <c r="L33" s="4"/>
      <c r="M33" s="4"/>
      <c r="N33" s="4"/>
    </row>
    <row r="34" ht="15.75" customHeight="1">
      <c r="B34" s="4"/>
      <c r="C34" s="4"/>
      <c r="D34" s="4"/>
      <c r="E34" s="4"/>
      <c r="F34" s="4"/>
      <c r="G34" s="4"/>
      <c r="H34" s="4" t="s">
        <v>49</v>
      </c>
      <c r="I34" s="4"/>
      <c r="J34" s="4"/>
      <c r="K34" s="4"/>
      <c r="L34" s="4"/>
      <c r="M34" s="4"/>
      <c r="N34" s="4"/>
    </row>
    <row r="35" ht="15.75" customHeight="1">
      <c r="B35" s="4"/>
      <c r="C35" s="4"/>
      <c r="D35" s="4"/>
      <c r="E35" s="4"/>
      <c r="F35" s="4"/>
      <c r="G35" s="4"/>
      <c r="H35" s="27" t="s">
        <v>22</v>
      </c>
      <c r="I35" s="28"/>
      <c r="J35" s="4"/>
      <c r="K35" s="4"/>
      <c r="L35" s="4"/>
      <c r="M35" s="4"/>
      <c r="N35" s="4"/>
    </row>
    <row r="36" ht="15.75" customHeight="1">
      <c r="B36" s="4"/>
      <c r="C36" s="4"/>
      <c r="D36" s="4"/>
      <c r="E36" s="4"/>
      <c r="F36" s="4"/>
      <c r="G36" s="4"/>
      <c r="H36" s="24" t="s">
        <v>50</v>
      </c>
      <c r="I36" s="24">
        <v>1200000.0</v>
      </c>
      <c r="J36" s="4"/>
      <c r="K36" s="4"/>
      <c r="L36" s="4"/>
      <c r="M36" s="4"/>
      <c r="N36" s="4"/>
    </row>
    <row r="37" ht="15.75" customHeight="1">
      <c r="B37" s="4"/>
      <c r="C37" s="4"/>
      <c r="D37" s="4"/>
      <c r="E37" s="4"/>
      <c r="F37" s="4"/>
      <c r="G37" s="4"/>
      <c r="H37" s="24" t="s">
        <v>51</v>
      </c>
      <c r="I37" s="24">
        <v>200000.0</v>
      </c>
      <c r="J37" s="4"/>
      <c r="K37" s="4"/>
      <c r="L37" s="4"/>
      <c r="M37" s="4"/>
      <c r="N37" s="4"/>
    </row>
    <row r="38" ht="15.75" customHeight="1">
      <c r="B38" s="4"/>
      <c r="C38" s="4"/>
      <c r="D38" s="4"/>
      <c r="E38" s="4"/>
      <c r="F38" s="4"/>
      <c r="G38" s="4"/>
      <c r="H38" s="24" t="s">
        <v>16</v>
      </c>
      <c r="I38" s="24"/>
      <c r="J38" s="4"/>
      <c r="K38" s="4"/>
      <c r="L38" s="4"/>
      <c r="M38" s="4"/>
      <c r="N38" s="4"/>
    </row>
    <row r="39" ht="15.75" customHeight="1">
      <c r="B39" s="4"/>
      <c r="C39" s="4"/>
      <c r="D39" s="4"/>
      <c r="E39" s="4"/>
      <c r="F39" s="4"/>
      <c r="G39" s="4"/>
      <c r="H39" s="36" t="s">
        <v>52</v>
      </c>
      <c r="I39" s="36">
        <f>SUM(I36:I38)</f>
        <v>1400000</v>
      </c>
      <c r="J39" s="4"/>
      <c r="K39" s="4"/>
      <c r="L39" s="4"/>
      <c r="M39" s="4"/>
      <c r="N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B41" s="4"/>
      <c r="C41" s="4"/>
      <c r="D41" s="4"/>
      <c r="E41" s="4"/>
      <c r="F41" s="4"/>
      <c r="G41" s="4"/>
      <c r="K41" s="4"/>
      <c r="L41" s="4"/>
      <c r="M41" s="4"/>
      <c r="N41" s="4"/>
    </row>
    <row r="42" ht="15.75" customHeight="1">
      <c r="B42" s="4"/>
      <c r="C42" s="4"/>
      <c r="D42" s="4"/>
      <c r="E42" s="4"/>
      <c r="F42" s="4"/>
      <c r="G42" s="4"/>
      <c r="K42" s="4"/>
      <c r="L42" s="4"/>
      <c r="M42" s="4"/>
      <c r="N42" s="4"/>
    </row>
    <row r="43" ht="15.75" customHeight="1">
      <c r="B43" s="4"/>
      <c r="C43" s="4"/>
      <c r="D43" s="4"/>
      <c r="E43" s="4"/>
      <c r="F43" s="4"/>
      <c r="G43" s="4"/>
      <c r="K43" s="4"/>
      <c r="L43" s="4"/>
      <c r="M43" s="4"/>
      <c r="N43" s="4"/>
    </row>
    <row r="44" ht="15.75" customHeight="1">
      <c r="B44" s="4"/>
      <c r="C44" s="4"/>
      <c r="D44" s="4"/>
      <c r="E44" s="4"/>
      <c r="F44" s="4"/>
      <c r="G44" s="4"/>
      <c r="K44" s="4"/>
      <c r="L44" s="4"/>
      <c r="M44" s="4"/>
      <c r="N44" s="4"/>
    </row>
    <row r="45" ht="15.75" customHeight="1">
      <c r="B45" s="4"/>
      <c r="C45" s="4"/>
      <c r="D45" s="4"/>
      <c r="E45" s="4"/>
      <c r="F45" s="4"/>
      <c r="G45" s="4"/>
      <c r="K45" s="4"/>
      <c r="L45" s="4"/>
      <c r="M45" s="4"/>
      <c r="N45" s="4"/>
    </row>
    <row r="46" ht="15.75" customHeight="1">
      <c r="B46" s="4"/>
      <c r="C46" s="4"/>
      <c r="D46" s="4"/>
      <c r="E46" s="4"/>
      <c r="F46" s="4"/>
      <c r="G46" s="4"/>
      <c r="K46" s="4"/>
      <c r="L46" s="4"/>
      <c r="M46" s="4"/>
      <c r="N46" s="4"/>
    </row>
    <row r="47" ht="15.75" customHeight="1">
      <c r="B47" s="4"/>
      <c r="C47" s="4"/>
      <c r="D47" s="4"/>
      <c r="E47" s="4"/>
      <c r="F47" s="4"/>
      <c r="G47" s="4"/>
      <c r="K47" s="4"/>
      <c r="L47" s="4"/>
      <c r="M47" s="4"/>
      <c r="N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14">
    <mergeCell ref="K26:L26"/>
    <mergeCell ref="K27:L27"/>
    <mergeCell ref="K28:L28"/>
    <mergeCell ref="H29:I29"/>
    <mergeCell ref="K29:L29"/>
    <mergeCell ref="K30:L30"/>
    <mergeCell ref="H35:I35"/>
    <mergeCell ref="C1:H1"/>
    <mergeCell ref="I1:N1"/>
    <mergeCell ref="O1:T1"/>
    <mergeCell ref="H20:I20"/>
    <mergeCell ref="K20:M20"/>
    <mergeCell ref="H22:I22"/>
    <mergeCell ref="K25:M2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2025-11-22T13:51:50Z</dcterms:created>
  <dc:creator>Alumno Plaza Norte</dc:creator>
</cp:coreProperties>
</file>